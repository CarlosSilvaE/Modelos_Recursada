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carlo\Desktop\Modelos_Computacionales\Practicas\"/>
    </mc:Choice>
  </mc:AlternateContent>
  <xr:revisionPtr revIDLastSave="0" documentId="13_ncr:1_{6A243E65-9442-477A-BADE-0456E8FD9B73}" xr6:coauthVersionLast="47" xr6:coauthVersionMax="47" xr10:uidLastSave="{00000000-0000-0000-0000-000000000000}"/>
  <bookViews>
    <workbookView xWindow="-120" yWindow="-120" windowWidth="20730" windowHeight="11040" xr2:uid="{C9F34517-EA82-4153-B586-954288C176A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2" i="1" l="1"/>
  <c r="J39" i="1" a="1"/>
  <c r="J39" i="1" s="1"/>
  <c r="J38" i="1" a="1"/>
  <c r="J38" i="1" s="1"/>
  <c r="J37" i="1" a="1"/>
  <c r="J37" i="1" s="1"/>
  <c r="J36" i="1" a="1"/>
  <c r="J36" i="1" s="1"/>
  <c r="J35" i="1" a="1"/>
  <c r="J35" i="1" s="1"/>
  <c r="J34" i="1" a="1"/>
  <c r="J34" i="1" s="1"/>
  <c r="J33" i="1" a="1"/>
  <c r="J33" i="1" s="1"/>
  <c r="J32" i="1" a="1"/>
  <c r="J32" i="1" s="1"/>
  <c r="J31" i="1" a="1"/>
  <c r="J31" i="1" s="1"/>
  <c r="D151" i="1" a="1"/>
  <c r="D151" i="1" s="1"/>
  <c r="D146" i="1" a="1"/>
  <c r="D146" i="1" s="1"/>
  <c r="D141" i="1" a="1"/>
  <c r="D141" i="1" s="1"/>
  <c r="D136" i="1" a="1"/>
  <c r="D136" i="1" s="1"/>
  <c r="D131" i="1" a="1"/>
  <c r="D131" i="1" s="1"/>
  <c r="D126" i="1" a="1"/>
  <c r="D126" i="1" s="1"/>
  <c r="D121" i="1" a="1"/>
  <c r="D121" i="1" s="1"/>
  <c r="D116" i="1" a="1"/>
  <c r="D116" i="1" s="1"/>
  <c r="D111" i="1" a="1"/>
  <c r="D111" i="1" s="1"/>
  <c r="D106" i="1" a="1"/>
  <c r="D106" i="1" s="1"/>
  <c r="D101" i="1" a="1"/>
  <c r="D101" i="1" s="1"/>
  <c r="D96" i="1" a="1"/>
  <c r="D96" i="1" s="1"/>
  <c r="D91" i="1" a="1"/>
  <c r="D91" i="1" s="1"/>
  <c r="D86" i="1" a="1"/>
  <c r="D86" i="1" s="1"/>
  <c r="D81" i="1" a="1"/>
  <c r="D81" i="1" s="1"/>
  <c r="D76" i="1" a="1"/>
  <c r="D76" i="1" s="1"/>
  <c r="D71" i="1" a="1"/>
  <c r="D71" i="1" s="1"/>
  <c r="D66" i="1" a="1"/>
  <c r="D66" i="1" s="1"/>
  <c r="D61" i="1" a="1"/>
  <c r="D61" i="1" s="1"/>
  <c r="D56" i="1" a="1"/>
  <c r="D56" i="1" s="1"/>
  <c r="D51" i="1" a="1"/>
  <c r="D51" i="1" s="1"/>
  <c r="D46" i="1" a="1"/>
  <c r="D46" i="1" s="1"/>
  <c r="D41" i="1" a="1"/>
  <c r="D41" i="1" s="1"/>
  <c r="D36" i="1" a="1"/>
  <c r="D36" i="1" s="1"/>
  <c r="D31" i="1" a="1"/>
  <c r="D3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<sst xmlns="http://schemas.openxmlformats.org/spreadsheetml/2006/main" count="176" uniqueCount="20">
  <si>
    <t>MATRIZ INICIAL DE TRANSICION</t>
  </si>
  <si>
    <t>BE</t>
  </si>
  <si>
    <t>RM</t>
  </si>
  <si>
    <t>RMAY</t>
  </si>
  <si>
    <t>M1</t>
  </si>
  <si>
    <t>DATOS ESTIMADOS BASADOS EN LA POBLACION</t>
  </si>
  <si>
    <t>TIEMPO</t>
  </si>
  <si>
    <t>ITERACIONES</t>
  </si>
  <si>
    <t>V0</t>
  </si>
  <si>
    <t>V1</t>
  </si>
  <si>
    <t>V2</t>
  </si>
  <si>
    <t>V3</t>
  </si>
  <si>
    <t>V4</t>
  </si>
  <si>
    <t>V5</t>
  </si>
  <si>
    <t>V6</t>
  </si>
  <si>
    <t>V7</t>
  </si>
  <si>
    <t>V8</t>
  </si>
  <si>
    <t>V9</t>
  </si>
  <si>
    <t>NUMERO ESPERADOS EN EL TALLER EN UN DIA CUALQUIERA</t>
  </si>
  <si>
    <t>AUTOS EN EL TALLER = 100(.032 + 0.042)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</si>
</sst>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Times New Roman"/>
      <family val="1"/>
    </font>
    <font>
      <sz val="8"/>
      <name val="Aptos Narrow"/>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1" fillId="2" borderId="0" xfId="0" applyFont="1" applyFill="1" applyAlignment="1">
      <alignment horizontal="center"/>
    </xf>
    <xf numFmtId="0" fontId="1" fillId="0" borderId="1" xfId="0" applyFont="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9525</xdr:colOff>
      <xdr:row>0</xdr:row>
      <xdr:rowOff>0</xdr:rowOff>
    </xdr:from>
    <xdr:to>
      <xdr:col>15</xdr:col>
      <xdr:colOff>361950</xdr:colOff>
      <xdr:row>11</xdr:row>
      <xdr:rowOff>95250</xdr:rowOff>
    </xdr:to>
    <xdr:sp macro="" textlink="">
      <xdr:nvSpPr>
        <xdr:cNvPr id="2" name="CuadroTexto 1">
          <a:extLst>
            <a:ext uri="{FF2B5EF4-FFF2-40B4-BE49-F238E27FC236}">
              <a16:creationId xmlns:a16="http://schemas.microsoft.com/office/drawing/2014/main" id="{FD4A2287-AAC0-4D0A-2064-B30D86DECD47}"/>
            </a:ext>
          </a:extLst>
        </xdr:cNvPr>
        <xdr:cNvSpPr txBox="1"/>
      </xdr:nvSpPr>
      <xdr:spPr>
        <a:xfrm>
          <a:off x="3819525" y="0"/>
          <a:ext cx="7972425" cy="219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100">
              <a:latin typeface="Times New Roman" panose="02020603050405020304" pitchFamily="18" charset="0"/>
              <a:cs typeface="Times New Roman" panose="02020603050405020304" pitchFamily="18" charset="0"/>
            </a:rPr>
            <a:t>Práctica de clase</a:t>
          </a:r>
        </a:p>
        <a:p>
          <a:pPr algn="ctr"/>
          <a:r>
            <a:rPr lang="es-MX" sz="1100">
              <a:latin typeface="Times New Roman" panose="02020603050405020304" pitchFamily="18" charset="0"/>
              <a:cs typeface="Times New Roman" panose="02020603050405020304" pitchFamily="18" charset="0"/>
            </a:rPr>
            <a:t>Un empresario posee una flotilla de 100 vehículos que utiliza como el servicio de taxi en una comunidad como es natural a veces un auto puede necesitar un servicio de mantenimiento o bien es posible que presente pequeñas fallas y pueda ser necesario una reparación bastante simple a estos sucesos los denominaremos reparaciones menores y en otras ocasiones es posible que un auto presente daños fuertes en el motor o tenga un accidente cuya reparación necesite más días en un taller a este tipo de eventos se les denomina reparaciones mayores el siguiente diagrama nos muestra las probabilidades de transición considerando periodos de un día es decir la probabilidad de que el día de mañana un auto se encuentre en buen estado dado que el día de hoy se encuentra en buen estado es 0.97 la probabilidad de que el día de mañana un auto necesite reparaciones menores dado que hoy se encuentra en buen estado es 0.02 y la probabilidad de que el día de mañana un auto necesite reparaciones mayores dado que el día de hoy se encuentra en buen estado es 0.01</a:t>
          </a:r>
        </a:p>
        <a:p>
          <a:pPr algn="l"/>
          <a:r>
            <a:rPr lang="es-MX" sz="1100">
              <a:latin typeface="Times New Roman" panose="02020603050405020304" pitchFamily="18" charset="0"/>
              <a:cs typeface="Times New Roman" panose="02020603050405020304" pitchFamily="18" charset="0"/>
            </a:rPr>
            <a:t> </a:t>
          </a:r>
        </a:p>
        <a:p>
          <a:pPr algn="l"/>
          <a:r>
            <a:rPr lang="es-MX" sz="1100">
              <a:latin typeface="Times New Roman" panose="02020603050405020304" pitchFamily="18" charset="0"/>
              <a:cs typeface="Times New Roman" panose="02020603050405020304" pitchFamily="18" charset="0"/>
            </a:rPr>
            <a:t>Se desea determinar:</a:t>
          </a:r>
        </a:p>
        <a:p>
          <a:pPr algn="l"/>
          <a:r>
            <a:rPr lang="es-MX" sz="1100">
              <a:latin typeface="Times New Roman" panose="02020603050405020304" pitchFamily="18" charset="0"/>
              <a:cs typeface="Times New Roman" panose="02020603050405020304" pitchFamily="18" charset="0"/>
            </a:rPr>
            <a:t>*El número esperado de autos en el taller en un dia cualquiera</a:t>
          </a:r>
        </a:p>
        <a:p>
          <a:pPr algn="l"/>
          <a:r>
            <a:rPr lang="es-MX" sz="1100">
              <a:latin typeface="Times New Roman" panose="02020603050405020304" pitchFamily="18" charset="0"/>
              <a:cs typeface="Times New Roman" panose="02020603050405020304" pitchFamily="18" charset="0"/>
            </a:rPr>
            <a:t>*La utilidad anual esperada por automóvil</a:t>
          </a:r>
        </a:p>
        <a:p>
          <a:r>
            <a:rPr lang="es-MX" sz="1100">
              <a:latin typeface="Times New Roman" panose="02020603050405020304" pitchFamily="18" charset="0"/>
              <a:cs typeface="Times New Roman" panose="02020603050405020304" pitchFamily="18" charset="0"/>
            </a:rPr>
            <a:t> </a:t>
          </a:r>
        </a:p>
      </xdr:txBody>
    </xdr:sp>
    <xdr:clientData/>
  </xdr:twoCellAnchor>
  <xdr:twoCellAnchor>
    <xdr:from>
      <xdr:col>9</xdr:col>
      <xdr:colOff>85726</xdr:colOff>
      <xdr:row>12</xdr:row>
      <xdr:rowOff>172912</xdr:rowOff>
    </xdr:from>
    <xdr:to>
      <xdr:col>10</xdr:col>
      <xdr:colOff>583726</xdr:colOff>
      <xdr:row>19</xdr:row>
      <xdr:rowOff>99412</xdr:rowOff>
    </xdr:to>
    <xdr:sp macro="" textlink="">
      <xdr:nvSpPr>
        <xdr:cNvPr id="3" name="Elipse 2">
          <a:extLst>
            <a:ext uri="{FF2B5EF4-FFF2-40B4-BE49-F238E27FC236}">
              <a16:creationId xmlns:a16="http://schemas.microsoft.com/office/drawing/2014/main" id="{FF4F909F-06DF-23FC-EF2F-09C2266087C5}"/>
            </a:ext>
          </a:extLst>
        </xdr:cNvPr>
        <xdr:cNvSpPr/>
      </xdr:nvSpPr>
      <xdr:spPr>
        <a:xfrm>
          <a:off x="6943726" y="2458912"/>
          <a:ext cx="1260000" cy="1260000"/>
        </a:xfrm>
        <a:prstGeom prst="ellipse">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a:t>BUEN ESTADO</a:t>
          </a:r>
        </a:p>
        <a:p>
          <a:pPr algn="ctr"/>
          <a:r>
            <a:rPr lang="es-MX" sz="1100"/>
            <a:t>BE</a:t>
          </a:r>
        </a:p>
      </xdr:txBody>
    </xdr:sp>
    <xdr:clientData/>
  </xdr:twoCellAnchor>
  <xdr:twoCellAnchor>
    <xdr:from>
      <xdr:col>12</xdr:col>
      <xdr:colOff>76933</xdr:colOff>
      <xdr:row>14</xdr:row>
      <xdr:rowOff>145803</xdr:rowOff>
    </xdr:from>
    <xdr:to>
      <xdr:col>13</xdr:col>
      <xdr:colOff>317758</xdr:colOff>
      <xdr:row>21</xdr:row>
      <xdr:rowOff>72303</xdr:rowOff>
    </xdr:to>
    <xdr:sp macro="" textlink="">
      <xdr:nvSpPr>
        <xdr:cNvPr id="4" name="Elipse 3">
          <a:extLst>
            <a:ext uri="{FF2B5EF4-FFF2-40B4-BE49-F238E27FC236}">
              <a16:creationId xmlns:a16="http://schemas.microsoft.com/office/drawing/2014/main" id="{AD87D594-7D79-4502-8008-4E3A0EDB3C5B}"/>
            </a:ext>
          </a:extLst>
        </xdr:cNvPr>
        <xdr:cNvSpPr/>
      </xdr:nvSpPr>
      <xdr:spPr>
        <a:xfrm>
          <a:off x="9220933" y="2812803"/>
          <a:ext cx="1260000" cy="1260000"/>
        </a:xfrm>
        <a:prstGeom prst="ellipse">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a:t>Reparacion</a:t>
          </a:r>
          <a:r>
            <a:rPr lang="es-MX" sz="1100" baseline="0"/>
            <a:t> menor</a:t>
          </a:r>
        </a:p>
        <a:p>
          <a:pPr algn="ctr"/>
          <a:r>
            <a:rPr lang="es-MX" sz="1100" baseline="0"/>
            <a:t>RM</a:t>
          </a:r>
          <a:endParaRPr lang="es-MX" sz="1100"/>
        </a:p>
      </xdr:txBody>
    </xdr:sp>
    <xdr:clientData/>
  </xdr:twoCellAnchor>
  <xdr:twoCellAnchor>
    <xdr:from>
      <xdr:col>6</xdr:col>
      <xdr:colOff>202958</xdr:colOff>
      <xdr:row>15</xdr:row>
      <xdr:rowOff>5126</xdr:rowOff>
    </xdr:from>
    <xdr:to>
      <xdr:col>7</xdr:col>
      <xdr:colOff>700958</xdr:colOff>
      <xdr:row>21</xdr:row>
      <xdr:rowOff>122126</xdr:rowOff>
    </xdr:to>
    <xdr:sp macro="" textlink="">
      <xdr:nvSpPr>
        <xdr:cNvPr id="5" name="Elipse 4">
          <a:extLst>
            <a:ext uri="{FF2B5EF4-FFF2-40B4-BE49-F238E27FC236}">
              <a16:creationId xmlns:a16="http://schemas.microsoft.com/office/drawing/2014/main" id="{4DF9FF75-7798-4F3D-ADA5-A1BEC684B993}"/>
            </a:ext>
          </a:extLst>
        </xdr:cNvPr>
        <xdr:cNvSpPr/>
      </xdr:nvSpPr>
      <xdr:spPr>
        <a:xfrm>
          <a:off x="4774958" y="2862626"/>
          <a:ext cx="1260000" cy="1260000"/>
        </a:xfrm>
        <a:prstGeom prst="ellipse">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a:t>Reparacion</a:t>
          </a:r>
          <a:r>
            <a:rPr lang="es-MX" sz="1100" baseline="0"/>
            <a:t> mayor</a:t>
          </a:r>
        </a:p>
        <a:p>
          <a:pPr algn="ctr"/>
          <a:r>
            <a:rPr lang="es-MX" sz="1100" baseline="0"/>
            <a:t>RMAY</a:t>
          </a:r>
          <a:endParaRPr lang="es-MX" sz="1100"/>
        </a:p>
      </xdr:txBody>
    </xdr:sp>
    <xdr:clientData/>
  </xdr:twoCellAnchor>
  <xdr:twoCellAnchor>
    <xdr:from>
      <xdr:col>9</xdr:col>
      <xdr:colOff>270249</xdr:colOff>
      <xdr:row>12</xdr:row>
      <xdr:rowOff>172911</xdr:rowOff>
    </xdr:from>
    <xdr:to>
      <xdr:col>9</xdr:col>
      <xdr:colOff>715726</xdr:colOff>
      <xdr:row>13</xdr:row>
      <xdr:rowOff>166934</xdr:rowOff>
    </xdr:to>
    <xdr:cxnSp macro="">
      <xdr:nvCxnSpPr>
        <xdr:cNvPr id="10" name="Conector: curvado 9">
          <a:extLst>
            <a:ext uri="{FF2B5EF4-FFF2-40B4-BE49-F238E27FC236}">
              <a16:creationId xmlns:a16="http://schemas.microsoft.com/office/drawing/2014/main" id="{F451E8C1-C933-4DC2-87B7-27568CE4FF9A}"/>
            </a:ext>
          </a:extLst>
        </xdr:cNvPr>
        <xdr:cNvCxnSpPr>
          <a:stCxn id="3" idx="0"/>
          <a:endCxn id="3" idx="1"/>
        </xdr:cNvCxnSpPr>
      </xdr:nvCxnSpPr>
      <xdr:spPr>
        <a:xfrm rot="16200000" flipH="1" flipV="1">
          <a:off x="7258726" y="2328434"/>
          <a:ext cx="184523" cy="445477"/>
        </a:xfrm>
        <a:prstGeom prst="curvedConnector3">
          <a:avLst>
            <a:gd name="adj1" fmla="val -123887"/>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702469</xdr:colOff>
      <xdr:row>11</xdr:row>
      <xdr:rowOff>136922</xdr:rowOff>
    </xdr:from>
    <xdr:ext cx="511969" cy="264560"/>
    <xdr:sp macro="" textlink="">
      <xdr:nvSpPr>
        <xdr:cNvPr id="12" name="CuadroTexto 11">
          <a:extLst>
            <a:ext uri="{FF2B5EF4-FFF2-40B4-BE49-F238E27FC236}">
              <a16:creationId xmlns:a16="http://schemas.microsoft.com/office/drawing/2014/main" id="{61A7ED13-1CCC-A5C7-60FD-6134D98F837E}"/>
            </a:ext>
          </a:extLst>
        </xdr:cNvPr>
        <xdr:cNvSpPr txBox="1"/>
      </xdr:nvSpPr>
      <xdr:spPr>
        <a:xfrm>
          <a:off x="7560469" y="2232422"/>
          <a:ext cx="5119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100"/>
            <a:t>0.97</a:t>
          </a:r>
        </a:p>
      </xdr:txBody>
    </xdr:sp>
    <xdr:clientData/>
  </xdr:oneCellAnchor>
  <xdr:twoCellAnchor>
    <xdr:from>
      <xdr:col>10</xdr:col>
      <xdr:colOff>583726</xdr:colOff>
      <xdr:row>16</xdr:row>
      <xdr:rowOff>40912</xdr:rowOff>
    </xdr:from>
    <xdr:to>
      <xdr:col>12</xdr:col>
      <xdr:colOff>76933</xdr:colOff>
      <xdr:row>18</xdr:row>
      <xdr:rowOff>13803</xdr:rowOff>
    </xdr:to>
    <xdr:cxnSp macro="">
      <xdr:nvCxnSpPr>
        <xdr:cNvPr id="13" name="Conector: curvado 12">
          <a:extLst>
            <a:ext uri="{FF2B5EF4-FFF2-40B4-BE49-F238E27FC236}">
              <a16:creationId xmlns:a16="http://schemas.microsoft.com/office/drawing/2014/main" id="{A6CEE86C-27D2-41A4-B3FA-E0DAE6BA89E0}"/>
            </a:ext>
          </a:extLst>
        </xdr:cNvPr>
        <xdr:cNvCxnSpPr>
          <a:stCxn id="3" idx="6"/>
          <a:endCxn id="4" idx="2"/>
        </xdr:cNvCxnSpPr>
      </xdr:nvCxnSpPr>
      <xdr:spPr>
        <a:xfrm>
          <a:off x="8203726" y="3088912"/>
          <a:ext cx="1017207" cy="353891"/>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10</xdr:col>
      <xdr:colOff>627734</xdr:colOff>
      <xdr:row>15</xdr:row>
      <xdr:rowOff>25553</xdr:rowOff>
    </xdr:from>
    <xdr:ext cx="511969" cy="264560"/>
    <xdr:sp macro="" textlink="">
      <xdr:nvSpPr>
        <xdr:cNvPr id="18" name="CuadroTexto 17">
          <a:extLst>
            <a:ext uri="{FF2B5EF4-FFF2-40B4-BE49-F238E27FC236}">
              <a16:creationId xmlns:a16="http://schemas.microsoft.com/office/drawing/2014/main" id="{5606A461-3E93-47DB-A5E9-8F9D792A8674}"/>
            </a:ext>
          </a:extLst>
        </xdr:cNvPr>
        <xdr:cNvSpPr txBox="1"/>
      </xdr:nvSpPr>
      <xdr:spPr>
        <a:xfrm>
          <a:off x="8247734" y="2883053"/>
          <a:ext cx="5119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100"/>
            <a:t>0.02</a:t>
          </a:r>
        </a:p>
      </xdr:txBody>
    </xdr:sp>
    <xdr:clientData/>
  </xdr:oneCellAnchor>
  <xdr:twoCellAnchor>
    <xdr:from>
      <xdr:col>7</xdr:col>
      <xdr:colOff>700958</xdr:colOff>
      <xdr:row>18</xdr:row>
      <xdr:rowOff>63627</xdr:rowOff>
    </xdr:from>
    <xdr:to>
      <xdr:col>9</xdr:col>
      <xdr:colOff>270249</xdr:colOff>
      <xdr:row>18</xdr:row>
      <xdr:rowOff>105390</xdr:rowOff>
    </xdr:to>
    <xdr:cxnSp macro="">
      <xdr:nvCxnSpPr>
        <xdr:cNvPr id="19" name="Conector: curvado 18">
          <a:extLst>
            <a:ext uri="{FF2B5EF4-FFF2-40B4-BE49-F238E27FC236}">
              <a16:creationId xmlns:a16="http://schemas.microsoft.com/office/drawing/2014/main" id="{14D051D0-4137-41DE-A3C2-9A2420D5B088}"/>
            </a:ext>
          </a:extLst>
        </xdr:cNvPr>
        <xdr:cNvCxnSpPr>
          <a:stCxn id="3" idx="3"/>
          <a:endCxn id="5" idx="6"/>
        </xdr:cNvCxnSpPr>
      </xdr:nvCxnSpPr>
      <xdr:spPr>
        <a:xfrm rot="5400000" flipH="1">
          <a:off x="6560722" y="2966863"/>
          <a:ext cx="41763" cy="1093291"/>
        </a:xfrm>
        <a:prstGeom prst="curvedConnector4">
          <a:avLst>
            <a:gd name="adj1" fmla="val -547374"/>
            <a:gd name="adj2" fmla="val 58439"/>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8</xdr:col>
      <xdr:colOff>428442</xdr:colOff>
      <xdr:row>18</xdr:row>
      <xdr:rowOff>60723</xdr:rowOff>
    </xdr:from>
    <xdr:ext cx="511969" cy="264560"/>
    <xdr:sp macro="" textlink="">
      <xdr:nvSpPr>
        <xdr:cNvPr id="25" name="CuadroTexto 24">
          <a:extLst>
            <a:ext uri="{FF2B5EF4-FFF2-40B4-BE49-F238E27FC236}">
              <a16:creationId xmlns:a16="http://schemas.microsoft.com/office/drawing/2014/main" id="{9C663930-8EBD-48DE-A692-41938D3FE03E}"/>
            </a:ext>
          </a:extLst>
        </xdr:cNvPr>
        <xdr:cNvSpPr txBox="1"/>
      </xdr:nvSpPr>
      <xdr:spPr>
        <a:xfrm>
          <a:off x="6524442" y="3489723"/>
          <a:ext cx="5119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100"/>
            <a:t>0.01</a:t>
          </a:r>
        </a:p>
      </xdr:txBody>
    </xdr:sp>
    <xdr:clientData/>
  </xdr:oneCellAnchor>
  <xdr:twoCellAnchor>
    <xdr:from>
      <xdr:col>12</xdr:col>
      <xdr:colOff>706934</xdr:colOff>
      <xdr:row>14</xdr:row>
      <xdr:rowOff>145803</xdr:rowOff>
    </xdr:from>
    <xdr:to>
      <xdr:col>13</xdr:col>
      <xdr:colOff>133236</xdr:colOff>
      <xdr:row>15</xdr:row>
      <xdr:rowOff>139826</xdr:rowOff>
    </xdr:to>
    <xdr:cxnSp macro="">
      <xdr:nvCxnSpPr>
        <xdr:cNvPr id="26" name="Conector: curvado 25">
          <a:extLst>
            <a:ext uri="{FF2B5EF4-FFF2-40B4-BE49-F238E27FC236}">
              <a16:creationId xmlns:a16="http://schemas.microsoft.com/office/drawing/2014/main" id="{93AC4E3B-36C2-4C97-9345-41668E0618F2}"/>
            </a:ext>
          </a:extLst>
        </xdr:cNvPr>
        <xdr:cNvCxnSpPr>
          <a:stCxn id="4" idx="7"/>
          <a:endCxn id="4" idx="0"/>
        </xdr:cNvCxnSpPr>
      </xdr:nvCxnSpPr>
      <xdr:spPr>
        <a:xfrm rot="16200000" flipV="1">
          <a:off x="9981411" y="2682326"/>
          <a:ext cx="184523" cy="445477"/>
        </a:xfrm>
        <a:prstGeom prst="curvedConnector3">
          <a:avLst>
            <a:gd name="adj1" fmla="val 223887"/>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399204</xdr:colOff>
      <xdr:row>13</xdr:row>
      <xdr:rowOff>166935</xdr:rowOff>
    </xdr:from>
    <xdr:to>
      <xdr:col>12</xdr:col>
      <xdr:colOff>261457</xdr:colOff>
      <xdr:row>15</xdr:row>
      <xdr:rowOff>139826</xdr:rowOff>
    </xdr:to>
    <xdr:cxnSp macro="">
      <xdr:nvCxnSpPr>
        <xdr:cNvPr id="29" name="Conector: curvado 28">
          <a:extLst>
            <a:ext uri="{FF2B5EF4-FFF2-40B4-BE49-F238E27FC236}">
              <a16:creationId xmlns:a16="http://schemas.microsoft.com/office/drawing/2014/main" id="{29FEB9B1-107E-445F-9EE4-91110155348C}"/>
            </a:ext>
          </a:extLst>
        </xdr:cNvPr>
        <xdr:cNvCxnSpPr>
          <a:stCxn id="4" idx="1"/>
          <a:endCxn id="3" idx="7"/>
        </xdr:cNvCxnSpPr>
      </xdr:nvCxnSpPr>
      <xdr:spPr>
        <a:xfrm rot="16200000" flipV="1">
          <a:off x="8535385" y="2127254"/>
          <a:ext cx="353891" cy="1386253"/>
        </a:xfrm>
        <a:prstGeom prst="curvedConnector3">
          <a:avLst>
            <a:gd name="adj1" fmla="val 216737"/>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487128</xdr:colOff>
      <xdr:row>20</xdr:row>
      <xdr:rowOff>59230</xdr:rowOff>
    </xdr:from>
    <xdr:to>
      <xdr:col>12</xdr:col>
      <xdr:colOff>336924</xdr:colOff>
      <xdr:row>20</xdr:row>
      <xdr:rowOff>128103</xdr:rowOff>
    </xdr:to>
    <xdr:cxnSp macro="">
      <xdr:nvCxnSpPr>
        <xdr:cNvPr id="33" name="Conector: curvado 32">
          <a:extLst>
            <a:ext uri="{FF2B5EF4-FFF2-40B4-BE49-F238E27FC236}">
              <a16:creationId xmlns:a16="http://schemas.microsoft.com/office/drawing/2014/main" id="{63574ABB-1C76-4C3B-9152-BA5CCCFDF383}"/>
            </a:ext>
          </a:extLst>
        </xdr:cNvPr>
        <xdr:cNvCxnSpPr/>
      </xdr:nvCxnSpPr>
      <xdr:spPr>
        <a:xfrm rot="5400000">
          <a:off x="7616589" y="2073769"/>
          <a:ext cx="68873" cy="3659796"/>
        </a:xfrm>
        <a:prstGeom prst="curvedConnector3">
          <a:avLst>
            <a:gd name="adj1" fmla="val 69983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70958</xdr:colOff>
      <xdr:row>15</xdr:row>
      <xdr:rowOff>5126</xdr:rowOff>
    </xdr:from>
    <xdr:to>
      <xdr:col>9</xdr:col>
      <xdr:colOff>85726</xdr:colOff>
      <xdr:row>16</xdr:row>
      <xdr:rowOff>40912</xdr:rowOff>
    </xdr:to>
    <xdr:cxnSp macro="">
      <xdr:nvCxnSpPr>
        <xdr:cNvPr id="36" name="Conector: curvado 35">
          <a:extLst>
            <a:ext uri="{FF2B5EF4-FFF2-40B4-BE49-F238E27FC236}">
              <a16:creationId xmlns:a16="http://schemas.microsoft.com/office/drawing/2014/main" id="{D6BB5482-7376-4D12-B154-E95C65813536}"/>
            </a:ext>
          </a:extLst>
        </xdr:cNvPr>
        <xdr:cNvCxnSpPr>
          <a:stCxn id="5" idx="0"/>
          <a:endCxn id="3" idx="2"/>
        </xdr:cNvCxnSpPr>
      </xdr:nvCxnSpPr>
      <xdr:spPr>
        <a:xfrm rot="16200000" flipH="1">
          <a:off x="6061199" y="2206385"/>
          <a:ext cx="226286" cy="1538768"/>
        </a:xfrm>
        <a:prstGeom prst="curvedConnector4">
          <a:avLst>
            <a:gd name="adj1" fmla="val -101023"/>
            <a:gd name="adj2" fmla="val 70471"/>
          </a:avLst>
        </a:prstGeom>
        <a:ln>
          <a:solidFill>
            <a:schemeClr val="accent6">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202958</xdr:colOff>
      <xdr:row>15</xdr:row>
      <xdr:rowOff>189648</xdr:rowOff>
    </xdr:from>
    <xdr:to>
      <xdr:col>6</xdr:col>
      <xdr:colOff>387481</xdr:colOff>
      <xdr:row>18</xdr:row>
      <xdr:rowOff>63625</xdr:rowOff>
    </xdr:to>
    <xdr:cxnSp macro="">
      <xdr:nvCxnSpPr>
        <xdr:cNvPr id="44" name="Conector: curvado 43">
          <a:extLst>
            <a:ext uri="{FF2B5EF4-FFF2-40B4-BE49-F238E27FC236}">
              <a16:creationId xmlns:a16="http://schemas.microsoft.com/office/drawing/2014/main" id="{C46CF618-2D3A-441F-A787-DA098FDD4A8B}"/>
            </a:ext>
          </a:extLst>
        </xdr:cNvPr>
        <xdr:cNvCxnSpPr>
          <a:stCxn id="5" idx="1"/>
          <a:endCxn id="5" idx="2"/>
        </xdr:cNvCxnSpPr>
      </xdr:nvCxnSpPr>
      <xdr:spPr>
        <a:xfrm rot="16200000" flipH="1" flipV="1">
          <a:off x="4644481" y="3177625"/>
          <a:ext cx="445477" cy="184523"/>
        </a:xfrm>
        <a:prstGeom prst="curvedConnector4">
          <a:avLst>
            <a:gd name="adj1" fmla="val -43395"/>
            <a:gd name="adj2" fmla="val 223887"/>
          </a:avLst>
        </a:prstGeom>
        <a:ln>
          <a:solidFill>
            <a:schemeClr val="accent6">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70957</xdr:colOff>
      <xdr:row>21</xdr:row>
      <xdr:rowOff>72303</xdr:rowOff>
    </xdr:from>
    <xdr:to>
      <xdr:col>12</xdr:col>
      <xdr:colOff>706932</xdr:colOff>
      <xdr:row>21</xdr:row>
      <xdr:rowOff>122126</xdr:rowOff>
    </xdr:to>
    <xdr:cxnSp macro="">
      <xdr:nvCxnSpPr>
        <xdr:cNvPr id="48" name="Conector: curvado 47">
          <a:extLst>
            <a:ext uri="{FF2B5EF4-FFF2-40B4-BE49-F238E27FC236}">
              <a16:creationId xmlns:a16="http://schemas.microsoft.com/office/drawing/2014/main" id="{BFC66801-0468-4AA3-9A92-1F20248DD395}"/>
            </a:ext>
          </a:extLst>
        </xdr:cNvPr>
        <xdr:cNvCxnSpPr>
          <a:stCxn id="5" idx="4"/>
          <a:endCxn id="4" idx="4"/>
        </xdr:cNvCxnSpPr>
      </xdr:nvCxnSpPr>
      <xdr:spPr>
        <a:xfrm rot="5400000" flipH="1" flipV="1">
          <a:off x="7603033" y="1874727"/>
          <a:ext cx="49823" cy="4445975"/>
        </a:xfrm>
        <a:prstGeom prst="curvedConnector3">
          <a:avLst>
            <a:gd name="adj1" fmla="val -458824"/>
          </a:avLst>
        </a:prstGeom>
        <a:ln>
          <a:solidFill>
            <a:schemeClr val="accent6">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705400</xdr:colOff>
      <xdr:row>24</xdr:row>
      <xdr:rowOff>44604</xdr:rowOff>
    </xdr:from>
    <xdr:ext cx="511969" cy="264560"/>
    <xdr:sp macro="" textlink="">
      <xdr:nvSpPr>
        <xdr:cNvPr id="52" name="CuadroTexto 51">
          <a:extLst>
            <a:ext uri="{FF2B5EF4-FFF2-40B4-BE49-F238E27FC236}">
              <a16:creationId xmlns:a16="http://schemas.microsoft.com/office/drawing/2014/main" id="{A91A5CB4-F538-4942-8FDD-5D664527F703}"/>
            </a:ext>
          </a:extLst>
        </xdr:cNvPr>
        <xdr:cNvSpPr txBox="1"/>
      </xdr:nvSpPr>
      <xdr:spPr>
        <a:xfrm>
          <a:off x="7563400" y="4616604"/>
          <a:ext cx="5119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100"/>
            <a:t>0.10</a:t>
          </a:r>
        </a:p>
      </xdr:txBody>
    </xdr:sp>
    <xdr:clientData/>
  </xdr:oneCellAnchor>
  <xdr:oneCellAnchor>
    <xdr:from>
      <xdr:col>5</xdr:col>
      <xdr:colOff>566188</xdr:colOff>
      <xdr:row>13</xdr:row>
      <xdr:rowOff>183815</xdr:rowOff>
    </xdr:from>
    <xdr:ext cx="511969" cy="264560"/>
    <xdr:sp macro="" textlink="">
      <xdr:nvSpPr>
        <xdr:cNvPr id="53" name="CuadroTexto 52">
          <a:extLst>
            <a:ext uri="{FF2B5EF4-FFF2-40B4-BE49-F238E27FC236}">
              <a16:creationId xmlns:a16="http://schemas.microsoft.com/office/drawing/2014/main" id="{18E7B5E3-D6C1-47DF-A5CB-A558D3BFCA97}"/>
            </a:ext>
          </a:extLst>
        </xdr:cNvPr>
        <xdr:cNvSpPr txBox="1"/>
      </xdr:nvSpPr>
      <xdr:spPr>
        <a:xfrm>
          <a:off x="4376188" y="2660315"/>
          <a:ext cx="5119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100"/>
            <a:t>0.70</a:t>
          </a:r>
        </a:p>
      </xdr:txBody>
    </xdr:sp>
    <xdr:clientData/>
  </xdr:oneCellAnchor>
  <xdr:oneCellAnchor>
    <xdr:from>
      <xdr:col>7</xdr:col>
      <xdr:colOff>396204</xdr:colOff>
      <xdr:row>12</xdr:row>
      <xdr:rowOff>138389</xdr:rowOff>
    </xdr:from>
    <xdr:ext cx="511969" cy="264560"/>
    <xdr:sp macro="" textlink="">
      <xdr:nvSpPr>
        <xdr:cNvPr id="55" name="CuadroTexto 54">
          <a:extLst>
            <a:ext uri="{FF2B5EF4-FFF2-40B4-BE49-F238E27FC236}">
              <a16:creationId xmlns:a16="http://schemas.microsoft.com/office/drawing/2014/main" id="{E47862E9-A8F5-4334-9064-389F59A68502}"/>
            </a:ext>
          </a:extLst>
        </xdr:cNvPr>
        <xdr:cNvSpPr txBox="1"/>
      </xdr:nvSpPr>
      <xdr:spPr>
        <a:xfrm>
          <a:off x="5730204" y="2424389"/>
          <a:ext cx="5119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100"/>
            <a:t>0.60</a:t>
          </a:r>
        </a:p>
      </xdr:txBody>
    </xdr:sp>
    <xdr:clientData/>
  </xdr:oneCellAnchor>
  <xdr:oneCellAnchor>
    <xdr:from>
      <xdr:col>13</xdr:col>
      <xdr:colOff>410858</xdr:colOff>
      <xdr:row>13</xdr:row>
      <xdr:rowOff>50466</xdr:rowOff>
    </xdr:from>
    <xdr:ext cx="511969" cy="264560"/>
    <xdr:sp macro="" textlink="">
      <xdr:nvSpPr>
        <xdr:cNvPr id="56" name="CuadroTexto 55">
          <a:extLst>
            <a:ext uri="{FF2B5EF4-FFF2-40B4-BE49-F238E27FC236}">
              <a16:creationId xmlns:a16="http://schemas.microsoft.com/office/drawing/2014/main" id="{C749D350-9A00-4E27-B5EF-DC0D5711A7D8}"/>
            </a:ext>
          </a:extLst>
        </xdr:cNvPr>
        <xdr:cNvSpPr txBox="1"/>
      </xdr:nvSpPr>
      <xdr:spPr>
        <a:xfrm>
          <a:off x="10316858" y="2526966"/>
          <a:ext cx="5119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100"/>
            <a:t>0.70</a:t>
          </a:r>
        </a:p>
      </xdr:txBody>
    </xdr:sp>
    <xdr:clientData/>
  </xdr:oneCellAnchor>
  <xdr:oneCellAnchor>
    <xdr:from>
      <xdr:col>11</xdr:col>
      <xdr:colOff>296557</xdr:colOff>
      <xdr:row>11</xdr:row>
      <xdr:rowOff>170626</xdr:rowOff>
    </xdr:from>
    <xdr:ext cx="511969" cy="264560"/>
    <xdr:sp macro="" textlink="">
      <xdr:nvSpPr>
        <xdr:cNvPr id="57" name="CuadroTexto 56">
          <a:extLst>
            <a:ext uri="{FF2B5EF4-FFF2-40B4-BE49-F238E27FC236}">
              <a16:creationId xmlns:a16="http://schemas.microsoft.com/office/drawing/2014/main" id="{9E35871C-840B-4563-B2F4-33CCF95DB1A6}"/>
            </a:ext>
          </a:extLst>
        </xdr:cNvPr>
        <xdr:cNvSpPr txBox="1"/>
      </xdr:nvSpPr>
      <xdr:spPr>
        <a:xfrm>
          <a:off x="8678557" y="2266126"/>
          <a:ext cx="5119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100"/>
            <a:t>0.20</a:t>
          </a:r>
        </a:p>
      </xdr:txBody>
    </xdr:sp>
    <xdr:clientData/>
  </xdr:oneCellAnchor>
  <xdr:oneCellAnchor>
    <xdr:from>
      <xdr:col>9</xdr:col>
      <xdr:colOff>690745</xdr:colOff>
      <xdr:row>21</xdr:row>
      <xdr:rowOff>125199</xdr:rowOff>
    </xdr:from>
    <xdr:ext cx="511969" cy="264560"/>
    <xdr:sp macro="" textlink="">
      <xdr:nvSpPr>
        <xdr:cNvPr id="58" name="CuadroTexto 57">
          <a:extLst>
            <a:ext uri="{FF2B5EF4-FFF2-40B4-BE49-F238E27FC236}">
              <a16:creationId xmlns:a16="http://schemas.microsoft.com/office/drawing/2014/main" id="{0DF8754C-1D3B-40DD-BAA1-5BC2CB5BEA79}"/>
            </a:ext>
          </a:extLst>
        </xdr:cNvPr>
        <xdr:cNvSpPr txBox="1"/>
      </xdr:nvSpPr>
      <xdr:spPr>
        <a:xfrm>
          <a:off x="7548745" y="4125699"/>
          <a:ext cx="5119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1100"/>
            <a:t>0.10</a:t>
          </a:r>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9FB90-6B0B-4430-B043-4667CE7070A6}">
  <dimension ref="A1:M163"/>
  <sheetViews>
    <sheetView tabSelected="1" topLeftCell="A28" zoomScaleNormal="100" workbookViewId="0">
      <selection activeCell="L42" sqref="L42"/>
    </sheetView>
  </sheetViews>
  <sheetFormatPr baseColWidth="10" defaultRowHeight="15" x14ac:dyDescent="0.25"/>
  <cols>
    <col min="13" max="13" width="15.28515625" customWidth="1"/>
  </cols>
  <sheetData>
    <row r="1" customFormat="1" x14ac:dyDescent="0.25"/>
    <row r="2" customFormat="1" x14ac:dyDescent="0.25"/>
    <row r="3" customFormat="1" x14ac:dyDescent="0.25"/>
    <row r="4" customFormat="1" x14ac:dyDescent="0.25"/>
    <row r="5" customFormat="1" x14ac:dyDescent="0.25"/>
    <row r="6" customFormat="1" x14ac:dyDescent="0.25"/>
    <row r="7" customFormat="1" x14ac:dyDescent="0.25"/>
    <row r="8" customFormat="1" x14ac:dyDescent="0.25"/>
    <row r="9" customFormat="1" x14ac:dyDescent="0.25"/>
    <row r="10" customFormat="1" x14ac:dyDescent="0.25"/>
    <row r="11" customFormat="1" x14ac:dyDescent="0.25"/>
    <row r="12" customFormat="1" x14ac:dyDescent="0.25"/>
    <row r="13" customFormat="1" x14ac:dyDescent="0.25"/>
    <row r="14" customFormat="1" x14ac:dyDescent="0.25"/>
    <row r="15" customFormat="1" x14ac:dyDescent="0.25"/>
    <row r="16" customFormat="1" x14ac:dyDescent="0.25"/>
    <row r="24" spans="1:13" x14ac:dyDescent="0.25">
      <c r="C24" s="5" t="s">
        <v>0</v>
      </c>
      <c r="D24" s="5"/>
      <c r="E24" s="5"/>
      <c r="F24" s="5"/>
    </row>
    <row r="25" spans="1:13" x14ac:dyDescent="0.25">
      <c r="A25" t="s">
        <v>4</v>
      </c>
      <c r="C25" s="1"/>
      <c r="D25" s="1" t="s">
        <v>1</v>
      </c>
      <c r="E25" s="1" t="s">
        <v>2</v>
      </c>
      <c r="F25" s="1" t="s">
        <v>3</v>
      </c>
    </row>
    <row r="26" spans="1:13" x14ac:dyDescent="0.25">
      <c r="C26" s="1" t="s">
        <v>1</v>
      </c>
      <c r="D26" s="1">
        <v>0.97</v>
      </c>
      <c r="E26" s="1">
        <v>0.02</v>
      </c>
      <c r="F26" s="1">
        <v>0.01</v>
      </c>
    </row>
    <row r="27" spans="1:13" x14ac:dyDescent="0.25">
      <c r="C27" s="1" t="s">
        <v>2</v>
      </c>
      <c r="D27" s="1">
        <v>0.6</v>
      </c>
      <c r="E27" s="1">
        <v>0.3</v>
      </c>
      <c r="F27" s="1">
        <v>0.1</v>
      </c>
    </row>
    <row r="28" spans="1:13" x14ac:dyDescent="0.25">
      <c r="C28" s="1" t="s">
        <v>3</v>
      </c>
      <c r="D28" s="1">
        <v>0.2</v>
      </c>
      <c r="E28" s="1">
        <v>0.1</v>
      </c>
      <c r="F28" s="1">
        <v>0.7</v>
      </c>
      <c r="I28" s="6" t="s">
        <v>5</v>
      </c>
      <c r="J28" s="6"/>
      <c r="K28" s="6"/>
      <c r="L28" s="6"/>
      <c r="M28" s="6"/>
    </row>
    <row r="29" spans="1:13" x14ac:dyDescent="0.25">
      <c r="I29" s="1" t="s">
        <v>6</v>
      </c>
      <c r="J29" s="1" t="s">
        <v>1</v>
      </c>
      <c r="K29" s="1" t="s">
        <v>2</v>
      </c>
      <c r="L29" s="1" t="s">
        <v>3</v>
      </c>
      <c r="M29" s="1" t="s">
        <v>7</v>
      </c>
    </row>
    <row r="30" spans="1:13" x14ac:dyDescent="0.25">
      <c r="C30" s="1"/>
      <c r="D30" s="1" t="s">
        <v>1</v>
      </c>
      <c r="E30" s="1" t="s">
        <v>2</v>
      </c>
      <c r="F30" s="1" t="s">
        <v>3</v>
      </c>
      <c r="I30" s="3">
        <v>0</v>
      </c>
      <c r="J30" s="3">
        <v>100</v>
      </c>
      <c r="K30" s="3">
        <v>0</v>
      </c>
      <c r="L30" s="3">
        <v>0</v>
      </c>
      <c r="M30" s="3" t="s">
        <v>8</v>
      </c>
    </row>
    <row r="31" spans="1:13" x14ac:dyDescent="0.25">
      <c r="C31" s="1" t="s">
        <v>1</v>
      </c>
      <c r="D31" s="1" cm="1">
        <f t="array" ref="D31:F33">MMULT(D26:F28,D26:F28)</f>
        <v>0.95489999999999997</v>
      </c>
      <c r="E31" s="1">
        <v>2.64E-2</v>
      </c>
      <c r="F31" s="1">
        <v>1.8700000000000001E-2</v>
      </c>
      <c r="I31" s="3">
        <v>1</v>
      </c>
      <c r="J31" s="3" cm="1">
        <f t="array" ref="J31:L31">MMULT(J30:L30,D26:F28)</f>
        <v>97</v>
      </c>
      <c r="K31" s="3">
        <v>2</v>
      </c>
      <c r="L31" s="3">
        <v>1</v>
      </c>
      <c r="M31" s="3" t="s">
        <v>9</v>
      </c>
    </row>
    <row r="32" spans="1:13" x14ac:dyDescent="0.25">
      <c r="C32" s="1" t="s">
        <v>2</v>
      </c>
      <c r="D32" s="1">
        <v>0.78200000000000003</v>
      </c>
      <c r="E32" s="1">
        <v>0.11199999999999999</v>
      </c>
      <c r="F32" s="1">
        <v>0.10599999999999998</v>
      </c>
      <c r="I32" s="3">
        <v>2</v>
      </c>
      <c r="J32" s="3" cm="1">
        <f t="array" ref="J32:L32">ROUND(MMULT(_xlfn.ANCHORARRAY(J31),D26:F28),0)</f>
        <v>95</v>
      </c>
      <c r="K32" s="3">
        <v>3</v>
      </c>
      <c r="L32" s="3">
        <v>2</v>
      </c>
      <c r="M32" s="3" t="s">
        <v>10</v>
      </c>
    </row>
    <row r="33" spans="3:13" x14ac:dyDescent="0.25">
      <c r="C33" s="1" t="s">
        <v>3</v>
      </c>
      <c r="D33" s="1">
        <v>0.39400000000000002</v>
      </c>
      <c r="E33" s="1">
        <v>0.104</v>
      </c>
      <c r="F33" s="1">
        <v>0.50199999999999989</v>
      </c>
      <c r="I33" s="3">
        <v>3</v>
      </c>
      <c r="J33" s="3" cm="1">
        <f t="array" ref="J33:L33">ROUND(MMULT(_xlfn.ANCHORARRAY(J32),$D$26:$F$28),0)</f>
        <v>94</v>
      </c>
      <c r="K33" s="3">
        <v>3</v>
      </c>
      <c r="L33" s="3">
        <v>3</v>
      </c>
      <c r="M33" s="3" t="s">
        <v>11</v>
      </c>
    </row>
    <row r="34" spans="3:13" x14ac:dyDescent="0.25">
      <c r="I34" s="3">
        <v>4</v>
      </c>
      <c r="J34" s="3" cm="1">
        <f t="array" ref="J34:L34">ROUND(MMULT(_xlfn.ANCHORARRAY(J33),$D$26:$F$28),0)</f>
        <v>94</v>
      </c>
      <c r="K34" s="3">
        <v>3</v>
      </c>
      <c r="L34" s="3">
        <v>3</v>
      </c>
      <c r="M34" s="3" t="s">
        <v>12</v>
      </c>
    </row>
    <row r="35" spans="3:13" x14ac:dyDescent="0.25">
      <c r="C35" s="1"/>
      <c r="D35" s="1" t="s">
        <v>1</v>
      </c>
      <c r="E35" s="1" t="s">
        <v>2</v>
      </c>
      <c r="F35" s="1" t="s">
        <v>3</v>
      </c>
      <c r="I35" s="3">
        <v>5</v>
      </c>
      <c r="J35" s="3" cm="1">
        <f t="array" ref="J35:L35">ROUND(MMULT(_xlfn.ANCHORARRAY(J34),$D$26:$F$28),0)</f>
        <v>94</v>
      </c>
      <c r="K35" s="3">
        <v>3</v>
      </c>
      <c r="L35" s="3">
        <v>3</v>
      </c>
      <c r="M35" s="3" t="s">
        <v>13</v>
      </c>
    </row>
    <row r="36" spans="3:13" x14ac:dyDescent="0.25">
      <c r="C36" s="1" t="s">
        <v>1</v>
      </c>
      <c r="D36" s="1" cm="1">
        <f t="array" ref="D36:F38">MMULT(_xlfn.ANCHORARRAY(D31),D26:F28)</f>
        <v>0.94583299999999992</v>
      </c>
      <c r="E36" s="1">
        <v>2.8888E-2</v>
      </c>
      <c r="F36" s="1">
        <v>2.5279000000000003E-2</v>
      </c>
      <c r="I36" s="3">
        <v>6</v>
      </c>
      <c r="J36" s="3" cm="1">
        <f t="array" ref="J36:L36">ROUND(MMULT(_xlfn.ANCHORARRAY(J35),$D$26:$F$28),0)</f>
        <v>94</v>
      </c>
      <c r="K36" s="3">
        <v>3</v>
      </c>
      <c r="L36" s="3">
        <v>3</v>
      </c>
      <c r="M36" s="3" t="s">
        <v>14</v>
      </c>
    </row>
    <row r="37" spans="3:13" x14ac:dyDescent="0.25">
      <c r="C37" s="1" t="s">
        <v>2</v>
      </c>
      <c r="D37" s="1">
        <v>0.84694000000000003</v>
      </c>
      <c r="E37" s="1">
        <v>5.9839999999999997E-2</v>
      </c>
      <c r="F37" s="1">
        <v>9.3219999999999997E-2</v>
      </c>
      <c r="I37" s="3">
        <v>7</v>
      </c>
      <c r="J37" s="3" cm="1">
        <f t="array" ref="J37:L37">ROUND(MMULT(_xlfn.ANCHORARRAY(J36),$D$26:$F$28),0)</f>
        <v>94</v>
      </c>
      <c r="K37" s="3">
        <v>3</v>
      </c>
      <c r="L37" s="3">
        <v>3</v>
      </c>
      <c r="M37" s="3" t="s">
        <v>15</v>
      </c>
    </row>
    <row r="38" spans="3:13" x14ac:dyDescent="0.25">
      <c r="C38" s="1" t="s">
        <v>3</v>
      </c>
      <c r="D38" s="1">
        <v>0.54498000000000002</v>
      </c>
      <c r="E38" s="1">
        <v>8.9279999999999998E-2</v>
      </c>
      <c r="F38" s="1">
        <v>0.3657399999999999</v>
      </c>
      <c r="I38" s="3">
        <v>8</v>
      </c>
      <c r="J38" s="3" cm="1">
        <f t="array" ref="J38:L38">ROUND(MMULT(_xlfn.ANCHORARRAY(J37),$D$26:$F$28),0)</f>
        <v>94</v>
      </c>
      <c r="K38" s="3">
        <v>3</v>
      </c>
      <c r="L38" s="3">
        <v>3</v>
      </c>
      <c r="M38" s="3" t="s">
        <v>16</v>
      </c>
    </row>
    <row r="39" spans="3:13" x14ac:dyDescent="0.25">
      <c r="I39" s="3">
        <v>9</v>
      </c>
      <c r="J39" s="3" cm="1">
        <f t="array" ref="J39:L39">ROUND(MMULT(_xlfn.ANCHORARRAY(J38),$D$26:$F$28),0)</f>
        <v>94</v>
      </c>
      <c r="K39" s="3">
        <v>3</v>
      </c>
      <c r="L39" s="3">
        <v>3</v>
      </c>
      <c r="M39" s="3" t="s">
        <v>17</v>
      </c>
    </row>
    <row r="40" spans="3:13" x14ac:dyDescent="0.25">
      <c r="C40" s="1"/>
      <c r="D40" s="1" t="s">
        <v>1</v>
      </c>
      <c r="E40" s="1" t="s">
        <v>2</v>
      </c>
      <c r="F40" s="1" t="s">
        <v>3</v>
      </c>
      <c r="I40" s="4"/>
      <c r="J40" s="4"/>
      <c r="K40" s="4"/>
      <c r="L40" s="4"/>
      <c r="M40" s="4"/>
    </row>
    <row r="41" spans="3:13" x14ac:dyDescent="0.25">
      <c r="C41" s="1" t="s">
        <v>1</v>
      </c>
      <c r="D41" s="1" cm="1">
        <f t="array" ref="D41:F43">MMULT(_xlfn.ANCHORARRAY(D36),$D$26:$F$28)</f>
        <v>0.93984661000000003</v>
      </c>
      <c r="E41" s="1">
        <v>3.0110959999999999E-2</v>
      </c>
      <c r="F41" s="1">
        <v>3.0042430000000002E-2</v>
      </c>
      <c r="I41" t="s">
        <v>18</v>
      </c>
    </row>
    <row r="42" spans="3:13" x14ac:dyDescent="0.25">
      <c r="C42" s="1" t="s">
        <v>2</v>
      </c>
      <c r="D42" s="1">
        <v>0.87607980000000008</v>
      </c>
      <c r="E42" s="1">
        <v>4.4212799999999997E-2</v>
      </c>
      <c r="F42" s="1">
        <v>7.9707399999999998E-2</v>
      </c>
      <c r="I42" s="7" t="s">
        <v>19</v>
      </c>
      <c r="J42" s="7"/>
      <c r="K42" s="7"/>
      <c r="L42">
        <f>100*(0.032+0.042)</f>
        <v>7.4000000000000012</v>
      </c>
    </row>
    <row r="43" spans="3:13" x14ac:dyDescent="0.25">
      <c r="C43" s="1" t="s">
        <v>3</v>
      </c>
      <c r="D43" s="1">
        <v>0.65534659999999989</v>
      </c>
      <c r="E43" s="1">
        <v>7.4257599999999979E-2</v>
      </c>
      <c r="F43" s="1">
        <v>0.27039579999999991</v>
      </c>
    </row>
    <row r="45" spans="3:13" x14ac:dyDescent="0.25">
      <c r="C45" s="1"/>
      <c r="D45" s="1" t="s">
        <v>1</v>
      </c>
      <c r="E45" s="1" t="s">
        <v>2</v>
      </c>
      <c r="F45" s="1" t="s">
        <v>3</v>
      </c>
    </row>
    <row r="46" spans="3:13" x14ac:dyDescent="0.25">
      <c r="C46" s="1" t="s">
        <v>1</v>
      </c>
      <c r="D46" s="1" cm="1">
        <f t="array" ref="D46:F48">MMULT(_xlfn.ANCHORARRAY(D41),$D$26:$F$28)</f>
        <v>0.93572627369999994</v>
      </c>
      <c r="E46" s="1">
        <v>3.0834463199999999E-2</v>
      </c>
      <c r="F46" s="1">
        <v>3.3439263100000005E-2</v>
      </c>
    </row>
    <row r="47" spans="3:13" x14ac:dyDescent="0.25">
      <c r="C47" s="1" t="s">
        <v>2</v>
      </c>
      <c r="D47" s="1">
        <v>0.89226656599999998</v>
      </c>
      <c r="E47" s="1">
        <v>3.8756176000000003E-2</v>
      </c>
      <c r="F47" s="1">
        <v>6.8977257999999986E-2</v>
      </c>
    </row>
    <row r="48" spans="3:13" x14ac:dyDescent="0.25">
      <c r="C48" s="1" t="s">
        <v>3</v>
      </c>
      <c r="D48" s="1">
        <v>0.73431992199999996</v>
      </c>
      <c r="E48" s="1">
        <v>6.2423791999999985E-2</v>
      </c>
      <c r="F48" s="1">
        <v>0.2032562859999999</v>
      </c>
    </row>
    <row r="50" spans="3:6" x14ac:dyDescent="0.25">
      <c r="C50" s="1"/>
      <c r="D50" s="1" t="s">
        <v>1</v>
      </c>
      <c r="E50" s="1" t="s">
        <v>2</v>
      </c>
      <c r="F50" s="1" t="s">
        <v>3</v>
      </c>
    </row>
    <row r="51" spans="3:6" x14ac:dyDescent="0.25">
      <c r="C51" s="1" t="s">
        <v>1</v>
      </c>
      <c r="D51" s="1" cm="1">
        <f t="array" ref="D51:F53">MMULT(_xlfn.ANCHORARRAY(D46),$D$26:$F$28)</f>
        <v>0.93284301602899999</v>
      </c>
      <c r="E51" s="1">
        <v>3.1308790743999997E-2</v>
      </c>
      <c r="F51" s="1">
        <v>3.5848193227000003E-2</v>
      </c>
    </row>
    <row r="52" spans="3:6" x14ac:dyDescent="0.25">
      <c r="C52" s="1" t="s">
        <v>2</v>
      </c>
      <c r="D52" s="1">
        <v>0.9025477262199999</v>
      </c>
      <c r="E52" s="1">
        <v>3.6369909919999999E-2</v>
      </c>
      <c r="F52" s="1">
        <v>6.1082363859999989E-2</v>
      </c>
    </row>
    <row r="53" spans="3:6" x14ac:dyDescent="0.25">
      <c r="C53" s="1" t="s">
        <v>3</v>
      </c>
      <c r="D53" s="1">
        <v>0.7903958567399999</v>
      </c>
      <c r="E53" s="1">
        <v>5.3739164639999989E-2</v>
      </c>
      <c r="F53" s="1">
        <v>0.1558649786199999</v>
      </c>
    </row>
    <row r="55" spans="3:6" x14ac:dyDescent="0.25">
      <c r="C55" s="1"/>
      <c r="D55" s="1" t="s">
        <v>1</v>
      </c>
      <c r="E55" s="1" t="s">
        <v>2</v>
      </c>
      <c r="F55" s="1" t="s">
        <v>3</v>
      </c>
    </row>
    <row r="56" spans="3:6" x14ac:dyDescent="0.25">
      <c r="C56" s="1" t="s">
        <v>1</v>
      </c>
      <c r="D56" s="1" cm="1">
        <f t="array" ref="D56:F58">MMULT(_xlfn.ANCHORARRAY(D51),$D$26:$F$28)</f>
        <v>0.93081263863992991</v>
      </c>
      <c r="E56" s="1">
        <v>3.1634316866480001E-2</v>
      </c>
      <c r="F56" s="1">
        <v>3.7553044493590003E-2</v>
      </c>
    </row>
    <row r="57" spans="3:6" x14ac:dyDescent="0.25">
      <c r="C57" s="1" t="s">
        <v>2</v>
      </c>
      <c r="D57" s="1">
        <v>0.90950971315739992</v>
      </c>
      <c r="E57" s="1">
        <v>3.5070163886399996E-2</v>
      </c>
      <c r="F57" s="1">
        <v>5.5420122956199996E-2</v>
      </c>
    </row>
    <row r="58" spans="3:6" x14ac:dyDescent="0.25">
      <c r="C58" s="1" t="s">
        <v>3</v>
      </c>
      <c r="D58" s="1">
        <v>0.83010047554579991</v>
      </c>
      <c r="E58" s="1">
        <v>4.7516164388799985E-2</v>
      </c>
      <c r="F58" s="1">
        <v>0.12238336006539993</v>
      </c>
    </row>
    <row r="60" spans="3:6" x14ac:dyDescent="0.25">
      <c r="C60" s="1"/>
      <c r="D60" s="1" t="s">
        <v>1</v>
      </c>
      <c r="E60" s="1" t="s">
        <v>2</v>
      </c>
      <c r="F60" s="1" t="s">
        <v>3</v>
      </c>
    </row>
    <row r="61" spans="3:6" x14ac:dyDescent="0.25">
      <c r="C61" s="1" t="s">
        <v>1</v>
      </c>
      <c r="D61" s="1" cm="1">
        <f t="array" ref="D61:F63">MMULT(_xlfn.ANCHORARRAY(D56),$D$26:$F$28)</f>
        <v>0.92937945849933801</v>
      </c>
      <c r="E61" s="1">
        <v>3.1861852282101602E-2</v>
      </c>
      <c r="F61" s="1">
        <v>3.8758689218560301E-2</v>
      </c>
    </row>
    <row r="62" spans="3:6" x14ac:dyDescent="0.25">
      <c r="C62" s="1" t="s">
        <v>2</v>
      </c>
      <c r="D62" s="1">
        <v>0.91435054468575794</v>
      </c>
      <c r="E62" s="1">
        <v>3.4253255724688E-2</v>
      </c>
      <c r="F62" s="1">
        <v>5.1396199589553999E-2</v>
      </c>
    </row>
    <row r="63" spans="3:6" x14ac:dyDescent="0.25">
      <c r="C63" s="1" t="s">
        <v>3</v>
      </c>
      <c r="D63" s="1">
        <v>0.85818383192578596</v>
      </c>
      <c r="E63" s="1">
        <v>4.309519483409599E-2</v>
      </c>
      <c r="F63" s="1">
        <v>9.8720973240117943E-2</v>
      </c>
    </row>
    <row r="65" spans="3:6" x14ac:dyDescent="0.25">
      <c r="C65" s="1"/>
      <c r="D65" s="1" t="s">
        <v>1</v>
      </c>
      <c r="E65" s="1" t="s">
        <v>2</v>
      </c>
      <c r="F65" s="1" t="s">
        <v>3</v>
      </c>
    </row>
    <row r="66" spans="3:6" x14ac:dyDescent="0.25">
      <c r="C66" s="1" t="s">
        <v>1</v>
      </c>
      <c r="D66" s="1" cm="1">
        <f t="array" ref="D66:F68">MMULT(_xlfn.ANCHORARRAY(D61),$D$26:$F$28)</f>
        <v>0.92836692395733089</v>
      </c>
      <c r="E66" s="1">
        <v>3.202201377647327E-2</v>
      </c>
      <c r="F66" s="1">
        <v>3.9611062266195748E-2</v>
      </c>
    </row>
    <row r="67" spans="3:6" x14ac:dyDescent="0.25">
      <c r="C67" s="1" t="s">
        <v>2</v>
      </c>
      <c r="D67" s="1">
        <v>0.91775122169790868</v>
      </c>
      <c r="E67" s="1">
        <v>3.370260757007696E-2</v>
      </c>
      <c r="F67" s="1">
        <v>4.8546170732014171E-2</v>
      </c>
    </row>
    <row r="68" spans="3:6" x14ac:dyDescent="0.25">
      <c r="C68" s="1" t="s">
        <v>3</v>
      </c>
      <c r="D68" s="1">
        <v>0.87803962851649353</v>
      </c>
      <c r="E68" s="1">
        <v>3.9964332412756307E-2</v>
      </c>
      <c r="F68" s="1">
        <v>8.199603907075001E-2</v>
      </c>
    </row>
    <row r="70" spans="3:6" x14ac:dyDescent="0.25">
      <c r="C70" s="1"/>
      <c r="D70" s="1" t="s">
        <v>1</v>
      </c>
      <c r="E70" s="1" t="s">
        <v>2</v>
      </c>
      <c r="F70" s="1" t="s">
        <v>3</v>
      </c>
    </row>
    <row r="71" spans="3:6" x14ac:dyDescent="0.25">
      <c r="C71" s="1" t="s">
        <v>1</v>
      </c>
      <c r="D71" s="1" cm="1">
        <f t="array" ref="D71:F73">MMULT(_xlfn.ANCHORARRAY(D66),$D$26:$F$28)</f>
        <v>0.92765133695773394</v>
      </c>
      <c r="E71" s="1">
        <v>3.2135048838708172E-2</v>
      </c>
      <c r="F71" s="1">
        <v>4.0213614203557659E-2</v>
      </c>
    </row>
    <row r="72" spans="3:6" x14ac:dyDescent="0.25">
      <c r="C72" s="1" t="s">
        <v>2</v>
      </c>
      <c r="D72" s="1">
        <v>0.92014948373542038</v>
      </c>
      <c r="E72" s="1">
        <v>3.332042377818268E-2</v>
      </c>
      <c r="F72" s="1">
        <v>4.6530092486396696E-2</v>
      </c>
    </row>
    <row r="73" spans="3:6" x14ac:dyDescent="0.25">
      <c r="C73" s="1" t="s">
        <v>3</v>
      </c>
      <c r="D73" s="1">
        <v>0.89207624692280252</v>
      </c>
      <c r="E73" s="1">
        <v>3.7749696201231767E-2</v>
      </c>
      <c r="F73" s="1">
        <v>7.0174056875965563E-2</v>
      </c>
    </row>
    <row r="75" spans="3:6" x14ac:dyDescent="0.25">
      <c r="C75" s="1"/>
      <c r="D75" s="1" t="s">
        <v>1</v>
      </c>
      <c r="E75" s="1" t="s">
        <v>2</v>
      </c>
      <c r="F75" s="1" t="s">
        <v>3</v>
      </c>
    </row>
    <row r="76" spans="3:6" x14ac:dyDescent="0.25">
      <c r="C76" s="1" t="s">
        <v>1</v>
      </c>
      <c r="D76" s="1" cm="1">
        <f t="array" ref="D76:F78">MMULT(_xlfn.ANCHORARRAY(D71),$D$26:$F$28)</f>
        <v>0.92714554899293833</v>
      </c>
      <c r="E76" s="1">
        <v>3.2214902811122895E-2</v>
      </c>
      <c r="F76" s="1">
        <v>4.0639548195938513E-2</v>
      </c>
    </row>
    <row r="77" spans="3:6" x14ac:dyDescent="0.25">
      <c r="C77" s="1" t="s">
        <v>2</v>
      </c>
      <c r="D77" s="1">
        <v>0.92184327198754668</v>
      </c>
      <c r="E77" s="1">
        <v>3.3052126056802883E-2</v>
      </c>
      <c r="F77" s="1">
        <v>4.5104601955650157E-2</v>
      </c>
    </row>
    <row r="78" spans="3:6" x14ac:dyDescent="0.25">
      <c r="C78" s="1" t="s">
        <v>3</v>
      </c>
      <c r="D78" s="1">
        <v>0.90199858861105064</v>
      </c>
      <c r="E78" s="1">
        <v>3.6183839486422134E-2</v>
      </c>
      <c r="F78" s="1">
        <v>6.181757190252709E-2</v>
      </c>
    </row>
    <row r="80" spans="3:6" x14ac:dyDescent="0.25">
      <c r="C80" s="1"/>
      <c r="D80" s="1" t="s">
        <v>1</v>
      </c>
      <c r="E80" s="1" t="s">
        <v>2</v>
      </c>
      <c r="F80" s="1" t="s">
        <v>3</v>
      </c>
    </row>
    <row r="81" spans="3:6" x14ac:dyDescent="0.25">
      <c r="C81" s="1" t="s">
        <v>1</v>
      </c>
      <c r="D81" s="1" cm="1">
        <f t="array" ref="D81:F83">MMULT(_xlfn.ANCHORARRAY(D76),$D$26:$F$28)</f>
        <v>0.92678803384901165</v>
      </c>
      <c r="E81" s="1">
        <v>3.2271336642789486E-2</v>
      </c>
      <c r="F81" s="1">
        <v>4.0940629508198628E-2</v>
      </c>
    </row>
    <row r="82" spans="3:6" x14ac:dyDescent="0.25">
      <c r="C82" s="1" t="s">
        <v>2</v>
      </c>
      <c r="D82" s="1">
        <v>0.92304016985313198</v>
      </c>
      <c r="E82" s="1">
        <v>3.2862963452356814E-2</v>
      </c>
      <c r="F82" s="1">
        <v>4.4096866694510864E-2</v>
      </c>
    </row>
    <row r="83" spans="3:6" x14ac:dyDescent="0.25">
      <c r="C83" s="1" t="s">
        <v>3</v>
      </c>
      <c r="D83" s="1">
        <v>0.90901244902507772</v>
      </c>
      <c r="E83" s="1">
        <v>3.5076880808400365E-2</v>
      </c>
      <c r="F83" s="1">
        <v>5.5910670166521681E-2</v>
      </c>
    </row>
    <row r="85" spans="3:6" x14ac:dyDescent="0.25">
      <c r="C85" s="1"/>
      <c r="D85" s="1" t="s">
        <v>1</v>
      </c>
      <c r="E85" s="1" t="s">
        <v>2</v>
      </c>
      <c r="F85" s="1" t="s">
        <v>3</v>
      </c>
    </row>
    <row r="86" spans="3:6" x14ac:dyDescent="0.25">
      <c r="C86" s="1" t="s">
        <v>1</v>
      </c>
      <c r="D86" s="1" cm="1">
        <f t="array" ref="D86:F88">MMULT(_xlfn.ANCHORARRAY(D81),$D$26:$F$28)</f>
        <v>0.92653532072085465</v>
      </c>
      <c r="E86" s="1">
        <v>3.2311224620636944E-2</v>
      </c>
      <c r="F86" s="1">
        <v>4.1153454658508101E-2</v>
      </c>
    </row>
    <row r="87" spans="3:6" x14ac:dyDescent="0.25">
      <c r="C87" s="1" t="s">
        <v>2</v>
      </c>
      <c r="D87" s="1">
        <v>0.92388611616785421</v>
      </c>
      <c r="E87" s="1">
        <v>3.2729379102220769E-2</v>
      </c>
      <c r="F87" s="1">
        <v>4.3384504729924604E-2</v>
      </c>
    </row>
    <row r="88" spans="3:6" x14ac:dyDescent="0.25">
      <c r="C88" s="1" t="s">
        <v>3</v>
      </c>
      <c r="D88" s="1">
        <v>0.91397033807266992</v>
      </c>
      <c r="E88" s="1">
        <v>3.4294380239673836E-2</v>
      </c>
      <c r="F88" s="1">
        <v>5.1735281687655989E-2</v>
      </c>
    </row>
    <row r="90" spans="3:6" x14ac:dyDescent="0.25">
      <c r="C90" s="1"/>
      <c r="D90" s="1" t="s">
        <v>1</v>
      </c>
      <c r="E90" s="1" t="s">
        <v>2</v>
      </c>
      <c r="F90" s="1" t="s">
        <v>3</v>
      </c>
    </row>
    <row r="91" spans="3:6" x14ac:dyDescent="0.25">
      <c r="C91" s="1" t="s">
        <v>1</v>
      </c>
      <c r="D91" s="1" cm="1">
        <f t="array" ref="D91:F93">MMULT(_xlfn.ANCHORARRAY(D86),$D$26:$F$28)</f>
        <v>0.92635668680331273</v>
      </c>
      <c r="E91" s="1">
        <v>3.2339419266458981E-2</v>
      </c>
      <c r="F91" s="1">
        <v>4.130389393022791E-2</v>
      </c>
    </row>
    <row r="92" spans="3:6" x14ac:dyDescent="0.25">
      <c r="C92" s="1" t="s">
        <v>2</v>
      </c>
      <c r="D92" s="1">
        <v>0.92448406109013592</v>
      </c>
      <c r="E92" s="1">
        <v>3.2634986527015776E-2</v>
      </c>
      <c r="F92" s="1">
        <v>4.2880952382847844E-2</v>
      </c>
    </row>
    <row r="93" spans="3:6" x14ac:dyDescent="0.25">
      <c r="C93" s="1" t="s">
        <v>3</v>
      </c>
      <c r="D93" s="1">
        <v>0.91747491241182533</v>
      </c>
      <c r="E93" s="1">
        <v>3.3741249002121151E-2</v>
      </c>
      <c r="F93" s="1">
        <v>4.8783838586053271E-2</v>
      </c>
    </row>
    <row r="95" spans="3:6" x14ac:dyDescent="0.25">
      <c r="C95" s="1"/>
      <c r="D95" s="1" t="s">
        <v>1</v>
      </c>
      <c r="E95" s="1" t="s">
        <v>2</v>
      </c>
      <c r="F95" s="1" t="s">
        <v>3</v>
      </c>
    </row>
    <row r="96" spans="3:6" x14ac:dyDescent="0.25">
      <c r="C96" s="1" t="s">
        <v>1</v>
      </c>
      <c r="D96" s="1" cm="1">
        <f t="array" ref="D96:F98">MMULT(_xlfn.ANCHORARRAY(D91),$D$26:$F$28)</f>
        <v>0.92623041654513427</v>
      </c>
      <c r="E96" s="1">
        <v>3.2359348909026739E-2</v>
      </c>
      <c r="F96" s="1">
        <v>4.1410234545838559E-2</v>
      </c>
    </row>
    <row r="97" spans="3:6" x14ac:dyDescent="0.25">
      <c r="C97" s="1" t="s">
        <v>2</v>
      </c>
      <c r="D97" s="1">
        <v>0.92490672165021082</v>
      </c>
      <c r="E97" s="1">
        <v>3.256827241819224E-2</v>
      </c>
      <c r="F97" s="1">
        <v>4.252500593159643E-2</v>
      </c>
    </row>
    <row r="98" spans="3:6" x14ac:dyDescent="0.25">
      <c r="C98" s="1" t="s">
        <v>3</v>
      </c>
      <c r="D98" s="1">
        <v>0.91995218215795393</v>
      </c>
      <c r="E98" s="1">
        <v>3.3350256807478176E-2</v>
      </c>
      <c r="F98" s="1">
        <v>4.6697561034567653E-2</v>
      </c>
    </row>
    <row r="100" spans="3:6" x14ac:dyDescent="0.25">
      <c r="C100" s="1"/>
      <c r="D100" s="1" t="s">
        <v>1</v>
      </c>
      <c r="E100" s="1" t="s">
        <v>2</v>
      </c>
      <c r="F100" s="1" t="s">
        <v>3</v>
      </c>
    </row>
    <row r="101" spans="3:6" x14ac:dyDescent="0.25">
      <c r="C101" s="1" t="s">
        <v>1</v>
      </c>
      <c r="D101" s="1" cm="1">
        <f t="array" ref="D101:F103">MMULT(_xlfn.ANCHORARRAY(D96),$D$26:$F$28)</f>
        <v>0.92614116030336402</v>
      </c>
      <c r="E101" s="1">
        <v>3.2373436458194564E-2</v>
      </c>
      <c r="F101" s="1">
        <v>4.1485403238441007E-2</v>
      </c>
    </row>
    <row r="102" spans="3:6" x14ac:dyDescent="0.25">
      <c r="C102" s="1" t="s">
        <v>2</v>
      </c>
      <c r="D102" s="1">
        <v>0.92520548463793906</v>
      </c>
      <c r="E102" s="1">
        <v>3.2521116751621532E-2</v>
      </c>
      <c r="F102" s="1">
        <v>4.2273398610438828E-2</v>
      </c>
    </row>
    <row r="103" spans="3:6" x14ac:dyDescent="0.25">
      <c r="C103" s="1" t="s">
        <v>3</v>
      </c>
      <c r="D103" s="1">
        <v>0.92170328298461579</v>
      </c>
      <c r="E103" s="1">
        <v>3.3073876788859299E-2</v>
      </c>
      <c r="F103" s="1">
        <v>4.5222840226524716E-2</v>
      </c>
    </row>
    <row r="105" spans="3:6" x14ac:dyDescent="0.25">
      <c r="C105" s="1"/>
      <c r="D105" s="1" t="s">
        <v>1</v>
      </c>
      <c r="E105" s="1" t="s">
        <v>2</v>
      </c>
      <c r="F105" s="1" t="s">
        <v>3</v>
      </c>
    </row>
    <row r="106" spans="3:6" x14ac:dyDescent="0.25">
      <c r="C106" s="1" t="s">
        <v>1</v>
      </c>
      <c r="D106" s="1" cm="1">
        <f t="array" ref="D106:F108">MMULT(_xlfn.ANCHORARRAY(D101),$D$26:$F$28)</f>
        <v>0.92607806801686798</v>
      </c>
      <c r="E106" s="1">
        <v>3.2383394467369757E-2</v>
      </c>
      <c r="F106" s="1">
        <v>4.1538537515761802E-2</v>
      </c>
    </row>
    <row r="107" spans="3:6" x14ac:dyDescent="0.25">
      <c r="C107" s="1" t="s">
        <v>2</v>
      </c>
      <c r="D107" s="1">
        <v>0.92541666987186155</v>
      </c>
      <c r="E107" s="1">
        <v>3.2487784579289129E-2</v>
      </c>
      <c r="F107" s="1">
        <v>4.2095545548848722E-2</v>
      </c>
    </row>
    <row r="108" spans="3:6" x14ac:dyDescent="0.25">
      <c r="C108" s="1" t="s">
        <v>3</v>
      </c>
      <c r="D108" s="1">
        <v>0.92294107861369779</v>
      </c>
      <c r="E108" s="1">
        <v>3.2878512719002578E-2</v>
      </c>
      <c r="F108" s="1">
        <v>4.4180408667299387E-2</v>
      </c>
    </row>
    <row r="110" spans="3:6" x14ac:dyDescent="0.25">
      <c r="C110" s="1"/>
      <c r="D110" s="1" t="s">
        <v>1</v>
      </c>
      <c r="E110" s="1" t="s">
        <v>2</v>
      </c>
      <c r="F110" s="1" t="s">
        <v>3</v>
      </c>
    </row>
    <row r="111" spans="3:6" x14ac:dyDescent="0.25">
      <c r="C111" s="1" t="s">
        <v>1</v>
      </c>
      <c r="D111" s="1" cm="1">
        <f t="array" ref="D111:F113">MMULT(_xlfn.ANCHORARRAY(D106),$D$26:$F$28)</f>
        <v>0.92603347015993609</v>
      </c>
      <c r="E111" s="1">
        <v>3.2390433452124466E-2</v>
      </c>
      <c r="F111" s="1">
        <v>4.157609638793891E-2</v>
      </c>
    </row>
    <row r="112" spans="3:6" x14ac:dyDescent="0.25">
      <c r="C112" s="1" t="s">
        <v>2</v>
      </c>
      <c r="D112" s="1">
        <v>0.92556594963304883</v>
      </c>
      <c r="E112" s="1">
        <v>3.2464223326108842E-2</v>
      </c>
      <c r="F112" s="1">
        <v>4.196982704084163E-2</v>
      </c>
    </row>
    <row r="113" spans="3:6" x14ac:dyDescent="0.25">
      <c r="C113" s="1" t="s">
        <v>3</v>
      </c>
      <c r="D113" s="1">
        <v>0.92381603562014813</v>
      </c>
      <c r="E113" s="1">
        <v>3.2740416254704668E-2</v>
      </c>
      <c r="F113" s="1">
        <v>4.3443548125146808E-2</v>
      </c>
    </row>
    <row r="115" spans="3:6" x14ac:dyDescent="0.25">
      <c r="C115" s="1"/>
      <c r="D115" s="1" t="s">
        <v>1</v>
      </c>
      <c r="E115" s="1" t="s">
        <v>2</v>
      </c>
      <c r="F115" s="1" t="s">
        <v>3</v>
      </c>
    </row>
    <row r="116" spans="3:6" x14ac:dyDescent="0.25">
      <c r="C116" s="1" t="s">
        <v>1</v>
      </c>
      <c r="D116" s="1" cm="1">
        <f t="array" ref="D116:F118">MMULT(_xlfn.ANCHORARRAY(D111),$D$26:$F$28)</f>
        <v>0.92600194540400049</v>
      </c>
      <c r="E116" s="1">
        <v>3.2395409077629951E-2</v>
      </c>
      <c r="F116" s="1">
        <v>4.1602645518369043E-2</v>
      </c>
    </row>
    <row r="117" spans="3:6" x14ac:dyDescent="0.25">
      <c r="C117" s="1" t="s">
        <v>2</v>
      </c>
      <c r="D117" s="1">
        <v>0.92567147054789101</v>
      </c>
      <c r="E117" s="1">
        <v>3.2447568694577787E-2</v>
      </c>
      <c r="F117" s="1">
        <v>4.1880960757530512E-2</v>
      </c>
    </row>
    <row r="118" spans="3:6" x14ac:dyDescent="0.25">
      <c r="C118" s="1" t="s">
        <v>3</v>
      </c>
      <c r="D118" s="1">
        <v>0.92443451392939568</v>
      </c>
      <c r="E118" s="1">
        <v>3.2642800401329046E-2</v>
      </c>
      <c r="F118" s="1">
        <v>4.2922685669274714E-2</v>
      </c>
    </row>
    <row r="120" spans="3:6" x14ac:dyDescent="0.25">
      <c r="C120" s="1"/>
      <c r="D120" s="1" t="s">
        <v>1</v>
      </c>
      <c r="E120" s="1" t="s">
        <v>2</v>
      </c>
      <c r="F120" s="1" t="s">
        <v>3</v>
      </c>
    </row>
    <row r="121" spans="3:6" x14ac:dyDescent="0.25">
      <c r="C121" s="1" t="s">
        <v>1</v>
      </c>
      <c r="D121" s="1" cm="1">
        <f t="array" ref="D121:F123">MMULT(_xlfn.ANCHORARRAY(D116),$D$26:$F$28)</f>
        <v>0.92597966159213219</v>
      </c>
      <c r="E121" s="1">
        <v>3.2398926183205903E-2</v>
      </c>
      <c r="F121" s="1">
        <v>4.1621412224661328E-2</v>
      </c>
    </row>
    <row r="122" spans="3:6" x14ac:dyDescent="0.25">
      <c r="C122" s="1" t="s">
        <v>2</v>
      </c>
      <c r="D122" s="1">
        <v>0.92574605979970703</v>
      </c>
      <c r="E122" s="1">
        <v>3.2435796095084207E-2</v>
      </c>
      <c r="F122" s="1">
        <v>4.1818144105208045E-2</v>
      </c>
    </row>
    <row r="123" spans="3:6" x14ac:dyDescent="0.25">
      <c r="C123" s="1" t="s">
        <v>3</v>
      </c>
      <c r="D123" s="1">
        <v>0.92487169588616625</v>
      </c>
      <c r="E123" s="1">
        <v>3.25737989659141E-2</v>
      </c>
      <c r="F123" s="1">
        <v>4.2554505147919162E-2</v>
      </c>
    </row>
    <row r="125" spans="3:6" x14ac:dyDescent="0.25">
      <c r="C125" s="1"/>
      <c r="D125" s="1" t="s">
        <v>1</v>
      </c>
      <c r="E125" s="1" t="s">
        <v>2</v>
      </c>
      <c r="F125" s="1" t="s">
        <v>3</v>
      </c>
    </row>
    <row r="126" spans="3:6" x14ac:dyDescent="0.25">
      <c r="C126" s="1" t="s">
        <v>1</v>
      </c>
      <c r="D126" s="1" cm="1">
        <f t="array" ref="D126:F128">MMULT(_xlfn.ANCHORARRAY(D121),$D$26:$F$28)</f>
        <v>0.92596390989922395</v>
      </c>
      <c r="E126" s="1">
        <v>3.2401412309270544E-2</v>
      </c>
      <c r="F126" s="1">
        <v>4.1634677791504843E-2</v>
      </c>
    </row>
    <row r="127" spans="3:6" x14ac:dyDescent="0.25">
      <c r="C127" s="1" t="s">
        <v>2</v>
      </c>
      <c r="D127" s="1">
        <v>0.92579878448380792</v>
      </c>
      <c r="E127" s="1">
        <v>3.242747443504021E-2</v>
      </c>
      <c r="F127" s="1">
        <v>4.1773741081151124E-2</v>
      </c>
    </row>
    <row r="128" spans="3:6" x14ac:dyDescent="0.25">
      <c r="C128" s="1" t="s">
        <v>3</v>
      </c>
      <c r="D128" s="1">
        <v>0.92518072541871355</v>
      </c>
      <c r="E128" s="1">
        <v>3.252502412228947E-2</v>
      </c>
      <c r="F128" s="1">
        <v>4.2294250458996485E-2</v>
      </c>
    </row>
    <row r="130" spans="3:6" x14ac:dyDescent="0.25">
      <c r="C130" s="1"/>
      <c r="D130" s="1" t="s">
        <v>1</v>
      </c>
      <c r="E130" s="1" t="s">
        <v>2</v>
      </c>
      <c r="F130" s="1" t="s">
        <v>3</v>
      </c>
    </row>
    <row r="131" spans="3:6" x14ac:dyDescent="0.25">
      <c r="C131" s="1" t="s">
        <v>1</v>
      </c>
      <c r="D131" s="1" cm="1">
        <f t="array" ref="D131:F133">MMULT(_xlfn.ANCHORARRAY(D126),$D$26:$F$28)</f>
        <v>0.92595277554611044</v>
      </c>
      <c r="E131" s="1">
        <v>3.2403169669916125E-2</v>
      </c>
      <c r="F131" s="1">
        <v>4.1644054783972678E-2</v>
      </c>
    </row>
    <row r="132" spans="3:6" x14ac:dyDescent="0.25">
      <c r="C132" s="1" t="s">
        <v>2</v>
      </c>
      <c r="D132" s="1">
        <v>0.9258360538265481</v>
      </c>
      <c r="E132" s="1">
        <v>3.2421592128303332E-2</v>
      </c>
      <c r="F132" s="1">
        <v>4.1742354045147888E-2</v>
      </c>
    </row>
    <row r="133" spans="3:6" x14ac:dyDescent="0.25">
      <c r="C133" s="1" t="s">
        <v>3</v>
      </c>
      <c r="D133" s="1">
        <v>0.92539916822132506</v>
      </c>
      <c r="E133" s="1">
        <v>3.2490546790960757E-2</v>
      </c>
      <c r="F133" s="1">
        <v>4.2110284987713617E-2</v>
      </c>
    </row>
    <row r="135" spans="3:6" x14ac:dyDescent="0.25">
      <c r="C135" s="1"/>
      <c r="D135" s="1" t="s">
        <v>1</v>
      </c>
      <c r="E135" s="1" t="s">
        <v>2</v>
      </c>
      <c r="F135" s="1" t="s">
        <v>3</v>
      </c>
    </row>
    <row r="136" spans="3:6" x14ac:dyDescent="0.25">
      <c r="C136" s="1" t="s">
        <v>1</v>
      </c>
      <c r="D136" s="1" cm="1">
        <f t="array" ref="D136:F138">MMULT(_xlfn.ANCHORARRAY(D131),$D$26:$F$28)</f>
        <v>0.92594490503847127</v>
      </c>
      <c r="E136" s="1">
        <v>3.2404411890294318E-2</v>
      </c>
      <c r="F136" s="1">
        <v>4.1650683071233596E-2</v>
      </c>
    </row>
    <row r="137" spans="3:6" x14ac:dyDescent="0.25">
      <c r="C137" s="1" t="s">
        <v>2</v>
      </c>
      <c r="D137" s="1">
        <v>0.92586239829776318</v>
      </c>
      <c r="E137" s="1">
        <v>3.241743411953675E-2</v>
      </c>
      <c r="F137" s="1">
        <v>4.1720167582699336E-2</v>
      </c>
    </row>
    <row r="138" spans="3:6" x14ac:dyDescent="0.25">
      <c r="C138" s="1" t="s">
        <v>3</v>
      </c>
      <c r="D138" s="1">
        <v>0.9255535782468044</v>
      </c>
      <c r="E138" s="1">
        <v>3.2466175900486088E-2</v>
      </c>
      <c r="F138" s="1">
        <v>4.1980245852708861E-2</v>
      </c>
    </row>
    <row r="140" spans="3:6" x14ac:dyDescent="0.25">
      <c r="C140" s="1"/>
      <c r="D140" s="1" t="s">
        <v>1</v>
      </c>
      <c r="E140" s="1" t="s">
        <v>2</v>
      </c>
      <c r="F140" s="1" t="s">
        <v>3</v>
      </c>
    </row>
    <row r="141" spans="3:6" x14ac:dyDescent="0.25">
      <c r="C141" s="1" t="s">
        <v>1</v>
      </c>
      <c r="D141" s="1" cm="1">
        <f t="array" ref="D141:F143">MMULT(_xlfn.ANCHORARRAY(D136),$D$26:$F$28)</f>
        <v>0.92593934163574043</v>
      </c>
      <c r="E141" s="1">
        <v>3.2405289974981086E-2</v>
      </c>
      <c r="F141" s="1">
        <v>4.1655368389277664E-2</v>
      </c>
    </row>
    <row r="142" spans="3:6" x14ac:dyDescent="0.25">
      <c r="C142" s="1" t="s">
        <v>2</v>
      </c>
      <c r="D142" s="1">
        <v>0.92588102033709219</v>
      </c>
      <c r="E142" s="1">
        <v>3.2414494960086221E-2</v>
      </c>
      <c r="F142" s="1">
        <v>4.1704484702820843E-2</v>
      </c>
    </row>
    <row r="143" spans="3:6" x14ac:dyDescent="0.25">
      <c r="C143" s="1" t="s">
        <v>3</v>
      </c>
      <c r="D143" s="1">
        <v>0.92566272561023377</v>
      </c>
      <c r="E143" s="1">
        <v>3.2448948920352799E-2</v>
      </c>
      <c r="F143" s="1">
        <v>4.1888325469412853E-2</v>
      </c>
    </row>
    <row r="145" spans="3:6" x14ac:dyDescent="0.25">
      <c r="C145" s="1"/>
      <c r="D145" s="1" t="s">
        <v>1</v>
      </c>
      <c r="E145" s="1" t="s">
        <v>2</v>
      </c>
      <c r="F145" s="1" t="s">
        <v>3</v>
      </c>
    </row>
    <row r="146" spans="3:6" x14ac:dyDescent="0.25">
      <c r="C146" s="1" t="s">
        <v>1</v>
      </c>
      <c r="D146" s="1" cm="1">
        <f t="array" ref="D146:F148">MMULT(_xlfn.ANCHORARRAY(D141),$D$26:$F$28)</f>
        <v>0.92593540904951244</v>
      </c>
      <c r="E146" s="1">
        <v>3.2405910664136901E-2</v>
      </c>
      <c r="F146" s="1">
        <v>4.1658680286349878E-2</v>
      </c>
    </row>
    <row r="147" spans="3:6" x14ac:dyDescent="0.25">
      <c r="C147" s="1" t="s">
        <v>2</v>
      </c>
      <c r="D147" s="1">
        <v>0.92589418364359533</v>
      </c>
      <c r="E147" s="1">
        <v>3.2412417365049795E-2</v>
      </c>
      <c r="F147" s="1">
        <v>4.169339899135413E-2</v>
      </c>
    </row>
    <row r="148" spans="3:6" x14ac:dyDescent="0.25">
      <c r="C148" s="1" t="s">
        <v>3</v>
      </c>
      <c r="D148" s="1">
        <v>0.92573987828802096</v>
      </c>
      <c r="E148" s="1">
        <v>3.24367717352518E-2</v>
      </c>
      <c r="F148" s="1">
        <v>4.1823349976726612E-2</v>
      </c>
    </row>
    <row r="150" spans="3:6" x14ac:dyDescent="0.25">
      <c r="C150" s="1"/>
      <c r="D150" s="1" t="s">
        <v>1</v>
      </c>
      <c r="E150" s="1" t="s">
        <v>2</v>
      </c>
      <c r="F150" s="1" t="s">
        <v>3</v>
      </c>
    </row>
    <row r="151" spans="3:6" x14ac:dyDescent="0.25">
      <c r="C151" s="1" t="s">
        <v>1</v>
      </c>
      <c r="D151" s="1" cm="1">
        <f t="array" ref="D151:F153">ROUND(MMULT(_xlfn.ANCHORARRAY(D146),$D$26:$F$28),3)</f>
        <v>0.92600000000000005</v>
      </c>
      <c r="E151" s="1">
        <v>3.2000000000000001E-2</v>
      </c>
      <c r="F151" s="1">
        <v>4.2000000000000003E-2</v>
      </c>
    </row>
    <row r="152" spans="3:6" x14ac:dyDescent="0.25">
      <c r="C152" s="1" t="s">
        <v>2</v>
      </c>
      <c r="D152" s="1">
        <v>0.92600000000000005</v>
      </c>
      <c r="E152" s="1">
        <v>3.2000000000000001E-2</v>
      </c>
      <c r="F152" s="1">
        <v>4.2000000000000003E-2</v>
      </c>
    </row>
    <row r="153" spans="3:6" x14ac:dyDescent="0.25">
      <c r="C153" s="1" t="s">
        <v>3</v>
      </c>
      <c r="D153" s="1">
        <v>0.92600000000000005</v>
      </c>
      <c r="E153" s="1">
        <v>3.2000000000000001E-2</v>
      </c>
      <c r="F153" s="1">
        <v>4.2000000000000003E-2</v>
      </c>
    </row>
    <row r="155" spans="3:6" x14ac:dyDescent="0.25">
      <c r="C155" s="2"/>
      <c r="D155" s="2"/>
      <c r="E155" s="2"/>
      <c r="F155" s="2"/>
    </row>
    <row r="156" spans="3:6" x14ac:dyDescent="0.25">
      <c r="C156" s="2"/>
      <c r="D156" s="2"/>
      <c r="E156" s="2"/>
      <c r="F156" s="2"/>
    </row>
    <row r="157" spans="3:6" x14ac:dyDescent="0.25">
      <c r="C157" s="2"/>
      <c r="D157" s="2"/>
      <c r="E157" s="2"/>
      <c r="F157" s="2"/>
    </row>
    <row r="158" spans="3:6" x14ac:dyDescent="0.25">
      <c r="C158" s="2"/>
      <c r="D158" s="2"/>
      <c r="E158" s="2"/>
      <c r="F158" s="2"/>
    </row>
    <row r="160" spans="3:6" x14ac:dyDescent="0.25">
      <c r="C160" s="2"/>
      <c r="D160" s="2"/>
      <c r="E160" s="2"/>
      <c r="F160" s="2"/>
    </row>
    <row r="161" spans="3:6" x14ac:dyDescent="0.25">
      <c r="C161" s="2"/>
      <c r="D161" s="2"/>
      <c r="E161" s="2"/>
      <c r="F161" s="2"/>
    </row>
    <row r="162" spans="3:6" x14ac:dyDescent="0.25">
      <c r="C162" s="2"/>
      <c r="D162" s="2"/>
      <c r="E162" s="2"/>
      <c r="F162" s="2"/>
    </row>
    <row r="163" spans="3:6" x14ac:dyDescent="0.25">
      <c r="C163" s="2"/>
      <c r="D163" s="2"/>
      <c r="E163" s="2"/>
      <c r="F163" s="2"/>
    </row>
  </sheetData>
  <mergeCells count="3">
    <mergeCell ref="C24:F24"/>
    <mergeCell ref="I28:M28"/>
    <mergeCell ref="I42:K42"/>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Uriel Silva Espinoza</dc:creator>
  <cp:lastModifiedBy>Carlos Uriel Silva Espinoza</cp:lastModifiedBy>
  <dcterms:created xsi:type="dcterms:W3CDTF">2026-03-11T01:24:29Z</dcterms:created>
  <dcterms:modified xsi:type="dcterms:W3CDTF">2026-03-11T02:33:30Z</dcterms:modified>
</cp:coreProperties>
</file>